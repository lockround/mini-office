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<sst xmlns="http://schemas.openxmlformats.org/spreadsheetml/2006/main" count="33" uniqueCount="28">
  <si>
    <t>item</t>
  </si>
  <si>
    <t>region</t>
  </si>
  <si>
    <t>qty</t>
  </si>
  <si>
    <t>unit_price</t>
  </si>
  <si>
    <t>line_total</t>
  </si>
  <si>
    <t>widget</t>
  </si>
  <si>
    <t>north</t>
  </si>
  <si>
    <t>south</t>
  </si>
  <si>
    <t>gizmo</t>
  </si>
  <si>
    <t>gadget</t>
  </si>
  <si>
    <t>east</t>
  </si>
  <si>
    <t>doohickey</t>
  </si>
  <si>
    <t>metric</t>
  </si>
  <si>
    <t>value</t>
  </si>
  <si>
    <t>total_qty</t>
  </si>
  <si>
    <t>avg_price</t>
  </si>
  <si>
    <t>max_line</t>
  </si>
  <si>
    <t>widget_total_qty</t>
  </si>
  <si>
    <t>north_value</t>
  </si>
  <si>
    <t>vlookup_gizmo</t>
  </si>
  <si>
    <t>index_match_gadget</t>
  </si>
  <si>
    <t>nested_if</t>
  </si>
  <si>
    <t>iferror_div</t>
  </si>
  <si>
    <t>concat_report</t>
  </si>
  <si>
    <t>round_avg</t>
  </si>
  <si>
    <t>countif_widgets</t>
  </si>
  <si>
    <t>and_or_check</t>
  </si>
  <si>
    <t>cross_sheet_math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</si>
</sst>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10</v>
      </c>
      <c r="D2">
        <v>2.5</v>
      </c>
      <c r="E2">
        <f>C2*D2</f>
        <v>25</v>
      </c>
    </row>
    <row r="3" spans="1:5">
      <c r="A3" t="s">
        <v>5</v>
      </c>
      <c r="B3" t="s">
        <v>7</v>
      </c>
      <c r="C3">
        <v>6</v>
      </c>
      <c r="D3">
        <v>2.5</v>
      </c>
      <c r="E3">
        <f>C3*D3</f>
        <v>15</v>
      </c>
    </row>
    <row r="4" spans="1:5">
      <c r="A4" t="s">
        <v>8</v>
      </c>
      <c r="B4" t="s">
        <v>6</v>
      </c>
      <c r="C4">
        <v>4</v>
      </c>
      <c r="D4">
        <v>7.25</v>
      </c>
      <c r="E4">
        <f>C4*D4</f>
        <v>29</v>
      </c>
    </row>
    <row r="5" spans="1:5">
      <c r="A5" t="s">
        <v>9</v>
      </c>
      <c r="B5" t="s">
        <v>10</v>
      </c>
      <c r="C5">
        <v>15</v>
      </c>
      <c r="D5">
        <v>1.1</v>
      </c>
      <c r="E5">
        <f>C5*D5</f>
        <v>16.5</v>
      </c>
    </row>
    <row r="6" spans="1:5">
      <c r="A6" t="s">
        <v>5</v>
      </c>
      <c r="B6" t="s">
        <v>10</v>
      </c>
      <c r="C6">
        <v>8</v>
      </c>
      <c r="D6">
        <v>2.5</v>
      </c>
      <c r="E6">
        <f>C6*D6</f>
        <v>20</v>
      </c>
    </row>
    <row r="7" spans="1:5">
      <c r="A7" t="s">
        <v>11</v>
      </c>
      <c r="B7" t="s">
        <v>7</v>
      </c>
      <c r="C7">
        <v>3</v>
      </c>
      <c r="D7">
        <v>12</v>
      </c>
      <c r="E7">
        <f>C7*D7</f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t="s">
        <v>12</v>
      </c>
      <c r="B1" t="s">
        <v>13</v>
      </c>
    </row>
    <row r="2" spans="1:2">
      <c r="A2" t="s">
        <v>14</v>
      </c>
      <c r="B2">
        <f>SUM(Data!C2:C7)</f>
        <v>46</v>
      </c>
    </row>
    <row r="3" spans="1:2">
      <c r="A3" t="s">
        <v>15</v>
      </c>
      <c r="B3">
        <f>AVERAGE(Data!D2:D7)</f>
        <v>4.641666666666667</v>
      </c>
    </row>
    <row r="4" spans="1:2">
      <c r="A4" t="s">
        <v>16</v>
      </c>
      <c r="B4">
        <f>MAX(Data!E2:E7)</f>
        <v>36</v>
      </c>
    </row>
    <row r="5" spans="1:2">
      <c r="A5" t="s">
        <v>17</v>
      </c>
      <c r="B5">
        <f>SUMIF(Data!A2:A7,"widget",Data!C2:C7)</f>
        <v>24</v>
      </c>
    </row>
    <row r="6" spans="1:2">
      <c r="A6" t="s">
        <v>18</v>
      </c>
      <c r="B6">
        <f>SUMIF(Data!B2:B7,"north",Data!E2:E7)</f>
        <v>54</v>
      </c>
    </row>
    <row r="7" spans="1:2">
      <c r="A7" t="s">
        <v>19</v>
      </c>
      <c r="B7">
        <f>VLOOKUP("gizmo",Data!A2:E7,4,FALSE)</f>
        <v>7.25</v>
      </c>
    </row>
    <row r="8" spans="1:2">
      <c r="A8" t="s">
        <v>20</v>
      </c>
      <c r="B8">
        <f>INDEX(Data!C2:C7,MATCH("gadget",Data!A2:A7,0))</f>
        <v>15</v>
      </c>
    </row>
    <row r="9" spans="1:2">
      <c r="A9" t="s">
        <v>21</v>
      </c>
      <c r="B9" t="str">
        <f>IF(SUMIF(Data!B2:B7,"north",Data!C2:C7)&gt;10,IF(AVERAGE(Data!D2:D7)&gt;4,"High N","Med N"),"Low N")</f>
        <v>High N</v>
      </c>
    </row>
    <row r="10" spans="1:2">
      <c r="A10" t="s">
        <v>22</v>
      </c>
      <c r="B10" t="str">
        <f>IFERROR(1/0,"div by zero")</f>
        <v>div by zero</v>
      </c>
    </row>
    <row r="11" spans="1:2">
      <c r="A11" t="s">
        <v>23</v>
      </c>
      <c r="B11" t="str">
        <f>CONCATENATE("rows: ",COUNTA(Data!A2:A7))</f>
        <v>rows: 6</v>
      </c>
    </row>
    <row r="12" spans="1:2">
      <c r="A12" t="s">
        <v>24</v>
      </c>
      <c r="B12">
        <f>ROUND(AVERAGE(Data!E2:E7),2)</f>
        <v>23.58</v>
      </c>
    </row>
    <row r="13" spans="1:2">
      <c r="A13" t="s">
        <v>25</v>
      </c>
      <c r="B13">
        <f>COUNTIF(Data!A2:A7,"widget")</f>
        <v>3</v>
      </c>
    </row>
    <row r="14" spans="1:2">
      <c r="A14" t="s">
        <v>26</v>
      </c>
      <c r="B14" t="b">
        <f>AND(COUNTA(Data!A2:A7)=6,OR(SUM(Data!C2:C7)&gt;40,SUM(Data!C2:C7)&lt;5))</f>
        <v>1</v>
      </c>
    </row>
    <row r="15" spans="1:2">
      <c r="A15" t="s">
        <v>27</v>
      </c>
      <c r="B15">
        <f>Data!E2*2+Summary!B2</f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2026-08-26T00:03:33Z</dcterms:created>
  <dcterms:modified xsi:type="dcterms:W3CDTF">2026-08-26T00:03:33Z</dcterms:modified>
</cp:coreProperties>
</file>